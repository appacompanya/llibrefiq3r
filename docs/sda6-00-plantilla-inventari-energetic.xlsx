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" sheetId="1" state="visible" r:id="rId3"/>
    <sheet name="Pla d'estalv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Preu aproximat suposat a la SdA (fitxa 1). El preu real depèn del contracte i de l'hora.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<sst xmlns="http://schemas.openxmlformats.org/spreadsheetml/2006/main" count="30" uniqueCount="30">
  <si>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Inventari energètic de l'aula · SdA 6 · L'energia del nostre institut</t>
  </si>
  <si>
    <t xml:space="preserve">Cel·les grogues: escriu-hi les dades. Cel·les grises: escriu-hi la fórmula (copia el model de la fila d'exemple). Columnes G i H: sessió 3 (potència mesurada amb el wattímetre).</t>
  </si>
  <si>
    <t xml:space="preserve">Aparell</t>
  </si>
  <si>
    <t xml:space="preserve">Potència de l'etiqueta (W)</t>
  </si>
  <si>
    <t xml:space="preserve">Quantitat</t>
  </si>
  <si>
    <t xml:space="preserve">Potència total (kW)</t>
  </si>
  <si>
    <t xml:space="preserve">Hores al dia</t>
  </si>
  <si>
    <t xml:space="preserve">Energia al dia (kWh)</t>
  </si>
  <si>
    <t xml:space="preserve">Potència mesurada (W) · sessió 3</t>
  </si>
  <si>
    <t xml:space="preserve">Energia real al dia (kWh) · sessió 3</t>
  </si>
  <si>
    <t xml:space="preserve">Exemple: llum de taula LED</t>
  </si>
  <si>
    <t xml:space="preserve">Llums del sostre</t>
  </si>
  <si>
    <t xml:space="preserve">Pissarra digital</t>
  </si>
  <si>
    <t xml:space="preserve">Portàtils (1 per alumne)</t>
  </si>
  <si>
    <t xml:space="preserve">Ventilador</t>
  </si>
  <si>
    <t xml:space="preserve">Total de l'aula</t>
  </si>
  <si>
    <t xml:space="preserve">Nota: la potència dels portàtils és la màxima de la sortida del carregador (P = V · I); la real es mesura a la sessió 3.</t>
  </si>
  <si>
    <t xml:space="preserve">Pla d'estalvi · sessió 5</t>
  </si>
  <si>
    <t xml:space="preserve">Preu de l'electricitat (€/kWh, suposat):</t>
  </si>
  <si>
    <t xml:space="preserve">Mesura</t>
  </si>
  <si>
    <t xml:space="preserve">Tipus (hàbits sostenibles, eficiència o generació)</t>
  </si>
  <si>
    <t xml:space="preserve">Energia abans (kWh/any)</t>
  </si>
  <si>
    <t xml:space="preserve">Energia després (kWh/any)</t>
  </si>
  <si>
    <t xml:space="preserve">Estalvi (kWh/any)</t>
  </si>
  <si>
    <t xml:space="preserve">Estalvi (€/any)</t>
  </si>
  <si>
    <t xml:space="preserve">Qui hi participa?</t>
  </si>
  <si>
    <t xml:space="preserve">Exemple: canviar 12 tubs de 36 W per LED de 18 W</t>
  </si>
  <si>
    <t xml:space="preserve">eficiència</t>
  </si>
  <si>
    <t xml:space="preserve">Ajuntament i manteniment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</si>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</sst>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.00&quot; €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6DB5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D646D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1EBF7"/>
        <bgColor rgb="FFEEEEEE"/>
      </patternFill>
    </fill>
    <fill>
      <patternFill patternType="solid">
        <fgColor rgb="FFF4F5F7"/>
        <bgColor rgb="FFEEEEEE"/>
      </patternFill>
    </fill>
    <fill>
      <patternFill patternType="solid">
        <fgColor rgb="FFFFF2B3"/>
        <bgColor rgb="FFFFFF99"/>
      </patternFill>
    </fill>
    <fill>
      <patternFill patternType="solid">
        <fgColor rgb="FFEEEEEE"/>
        <bgColor rgb="FFF4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8"/>
      </left>
      <right style="thin">
        <color rgb="FF9AA1A8"/>
      </right>
      <top style="thin">
        <color rgb="FF9AA1A8"/>
      </top>
      <bottom style="thin">
        <color rgb="FF9AA1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E1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2F6DB5"/>
      <rgbColor rgb="FF33CCCC"/>
      <rgbColor rgb="FF99CC00"/>
      <rgbColor rgb="FFFFCC00"/>
      <rgbColor rgb="FFFF9900"/>
      <rgbColor rgb="FFFF6600"/>
      <rgbColor rgb="FF5D646D"/>
      <rgbColor rgb="FF9AA1A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n">
        <v>10</v>
      </c>
      <c r="C5" s="4" t="n">
        <v>1</v>
      </c>
      <c r="D5" s="4" t="n">
        <f aca="false">B5*C5/1000</f>
        <v>0.01</v>
      </c>
      <c r="E5" s="4" t="n">
        <v>2</v>
      </c>
      <c r="F5" s="4" t="n">
        <f aca="false">D5*E5</f>
        <v>0.02</v>
      </c>
      <c r="G5" s="4" t="n">
        <v>9</v>
      </c>
      <c r="H5" s="4" t="n">
        <f aca="false">G5*C5/1000*E5</f>
        <v>0.018</v>
      </c>
    </row>
    <row r="6" customFormat="false" ht="15" hidden="false" customHeight="false" outlineLevel="0" collapsed="false">
      <c r="A6" s="5" t="s">
        <v>11</v>
      </c>
      <c r="B6" s="5"/>
      <c r="C6" s="5"/>
      <c r="D6" s="6"/>
      <c r="E6" s="5"/>
      <c r="F6" s="6"/>
      <c r="G6" s="5"/>
      <c r="H6" s="6"/>
    </row>
    <row r="7" customFormat="false" ht="15" hidden="false" customHeight="false" outlineLevel="0" collapsed="false">
      <c r="A7" s="5" t="s">
        <v>12</v>
      </c>
      <c r="B7" s="5"/>
      <c r="C7" s="5"/>
      <c r="D7" s="6"/>
      <c r="E7" s="5"/>
      <c r="F7" s="6"/>
      <c r="G7" s="5"/>
      <c r="H7" s="6"/>
    </row>
    <row r="8" customFormat="false" ht="15" hidden="false" customHeight="false" outlineLevel="0" collapsed="false">
      <c r="A8" s="5" t="s">
        <v>13</v>
      </c>
      <c r="B8" s="5"/>
      <c r="C8" s="5"/>
      <c r="D8" s="6"/>
      <c r="E8" s="5"/>
      <c r="F8" s="6"/>
      <c r="G8" s="5"/>
      <c r="H8" s="6"/>
    </row>
    <row r="9" customFormat="false" ht="15" hidden="false" customHeight="false" outlineLevel="0" collapsed="false">
      <c r="A9" s="5" t="s">
        <v>14</v>
      </c>
      <c r="B9" s="5"/>
      <c r="C9" s="5"/>
      <c r="D9" s="6"/>
      <c r="E9" s="5"/>
      <c r="F9" s="6"/>
      <c r="G9" s="5"/>
      <c r="H9" s="6"/>
    </row>
    <row r="10" customFormat="false" ht="15" hidden="false" customHeight="false" outlineLevel="0" collapsed="false">
      <c r="A10" s="5"/>
      <c r="B10" s="5"/>
      <c r="C10" s="5"/>
      <c r="D10" s="6"/>
      <c r="E10" s="5"/>
      <c r="F10" s="6"/>
      <c r="G10" s="5"/>
      <c r="H10" s="6"/>
    </row>
    <row r="11" customFormat="false" ht="15" hidden="false" customHeight="false" outlineLevel="0" collapsed="false">
      <c r="A11" s="5"/>
      <c r="B11" s="5"/>
      <c r="C11" s="5"/>
      <c r="D11" s="6"/>
      <c r="E11" s="5"/>
      <c r="F11" s="6"/>
      <c r="G11" s="5"/>
      <c r="H11" s="6"/>
    </row>
    <row r="12" customFormat="false" ht="15" hidden="false" customHeight="false" outlineLevel="0" collapsed="false">
      <c r="A12" s="5"/>
      <c r="B12" s="5"/>
      <c r="C12" s="5"/>
      <c r="D12" s="6"/>
      <c r="E12" s="5"/>
      <c r="F12" s="6"/>
      <c r="G12" s="5"/>
      <c r="H12" s="6"/>
    </row>
    <row r="13" customFormat="false" ht="15" hidden="false" customHeight="false" outlineLevel="0" collapsed="false">
      <c r="E13" s="7" t="s">
        <v>15</v>
      </c>
      <c r="F13" s="8"/>
      <c r="H13" s="8"/>
    </row>
    <row r="15" customFormat="false" ht="15" hidden="false" customHeight="false" outlineLevel="0" collapsed="false">
      <c r="A15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9" t="s">
        <v>18</v>
      </c>
      <c r="D2" s="10" t="n">
        <v>0.15</v>
      </c>
    </row>
    <row r="4" customFormat="false" ht="42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customFormat="false" ht="15" hidden="false" customHeight="false" outlineLevel="0" collapsed="false">
      <c r="A5" s="4" t="s">
        <v>26</v>
      </c>
      <c r="B5" s="4" t="s">
        <v>27</v>
      </c>
      <c r="C5" s="11" t="n">
        <f aca="false">12*36/1000*6*175</f>
        <v>453.6</v>
      </c>
      <c r="D5" s="11" t="n">
        <f aca="false">12*18/1000*6*175</f>
        <v>226.8</v>
      </c>
      <c r="E5" s="11" t="n">
        <f aca="false">C5-D5</f>
        <v>226.8</v>
      </c>
      <c r="F5" s="12" t="n">
        <f aca="false">E5*$D$2</f>
        <v>34.02</v>
      </c>
      <c r="G5" s="4" t="s">
        <v>28</v>
      </c>
    </row>
    <row r="6" customFormat="false" ht="15" hidden="false" customHeight="false" outlineLevel="0" collapsed="false">
      <c r="A6" s="5"/>
      <c r="B6" s="5"/>
      <c r="C6" s="13"/>
      <c r="D6" s="13"/>
      <c r="E6" s="14"/>
      <c r="F6" s="15"/>
      <c r="G6" s="5"/>
    </row>
    <row r="7" customFormat="false" ht="15" hidden="false" customHeight="false" outlineLevel="0" collapsed="false">
      <c r="A7" s="5"/>
      <c r="B7" s="5"/>
      <c r="C7" s="13"/>
      <c r="D7" s="13"/>
      <c r="E7" s="14"/>
      <c r="F7" s="15"/>
      <c r="G7" s="5"/>
    </row>
    <row r="8" customFormat="false" ht="15" hidden="false" customHeight="false" outlineLevel="0" collapsed="false">
      <c r="A8" s="5"/>
      <c r="B8" s="5"/>
      <c r="C8" s="13"/>
      <c r="D8" s="13"/>
      <c r="E8" s="14"/>
      <c r="F8" s="15"/>
      <c r="G8" s="5"/>
    </row>
    <row r="9" customFormat="false" ht="15" hidden="false" customHeight="false" outlineLevel="0" collapsed="false">
      <c r="C9" s="16"/>
      <c r="D9" s="17" t="s">
        <v>29</v>
      </c>
      <c r="E9" s="18"/>
      <c r="F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2026-10-11T15:28:29Z</dcterms:created>
  <dc:creator>openpyxl</dc:creator>
  <dc:description/>
  <dc:language>en-US</dc:language>
  <cp:lastModifiedBy/>
  <dcterms:modified xsi:type="dcterms:W3CDTF">2026-10-11T15:28:29Z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